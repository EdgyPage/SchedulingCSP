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yfir\Repos\Git\SchedulingCSP\frontend\"/>
    </mc:Choice>
  </mc:AlternateContent>
  <xr:revisionPtr revIDLastSave="0" documentId="13_ncr:1_{A88F82C7-89C4-4AFA-BAEE-BE306D37D7FF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Encoder" sheetId="1" r:id="rId1"/>
    <sheet name="Encoded" sheetId="6" r:id="rId2"/>
    <sheet name="Decoder" sheetId="4" r:id="rId3"/>
    <sheet name="FuncMap" sheetId="7" state="hidden" r:id="rId4"/>
    <sheet name="Master" sheetId="5" state="hidden" r:id="rId5"/>
  </sheets>
  <definedNames>
    <definedName name="ExternalData_1" localSheetId="4" hidden="1">Master!$A$1:$I$2</definedName>
    <definedName name="ExternalData_2" localSheetId="1" hidden="1">Encoded!$A$2:$H$3</definedName>
    <definedName name="ExternalData_3" localSheetId="3" hidden="1">FuncMap!$A$1:$B$8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D4" i="4"/>
  <c r="D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3B2916-2E42-4D20-B9CE-F08BF6365355}" keepAlive="1" name="Query - Encoded" description="Connection to the 'Encoded' query in the workbook." type="5" refreshedVersion="8" background="1" saveData="1">
    <dbPr connection="Provider=Microsoft.Mashup.OleDb.1;Data Source=$Workbook$;Location=Encoded;Extended Properties=&quot;&quot;" command="SELECT * FROM [Encoded]"/>
  </connection>
  <connection id="2" xr16:uid="{C6AB4DE0-0FC1-4CC5-A962-EE212AA53CA8}" keepAlive="1" name="Query - FuncMap" description="Connection to the 'FuncMap' query in the workbook." type="5" refreshedVersion="8" background="1" saveData="1">
    <dbPr connection="Provider=Microsoft.Mashup.OleDb.1;Data Source=$Workbook$;Location=FuncMap;Extended Properties=&quot;&quot;" command="SELECT * FROM [FuncMap]"/>
  </connection>
  <connection id="3" xr16:uid="{74520DCA-77FD-4BD7-BD61-5B271AFA173F}" keepAlive="1" name="Query - Master" description="Connection to the 'Master' query in the workbook." type="5" refreshedVersion="8" background="1" saveData="1">
    <dbPr connection="Provider=Microsoft.Mashup.OleDb.1;Data Source=$Workbook$;Location=Master;Extended Properties=&quot;&quot;" command="SELECT * FROM [Master]"/>
  </connection>
</connections>
</file>

<file path=xl/sharedStrings.xml><?xml version="1.0" encoding="utf-8"?>
<sst xmlns="http://schemas.openxmlformats.org/spreadsheetml/2006/main" count="48" uniqueCount="22">
  <si>
    <t>Unique Identifier</t>
  </si>
  <si>
    <t>ID Alias</t>
  </si>
  <si>
    <t>Func 1</t>
  </si>
  <si>
    <t>Func 2</t>
  </si>
  <si>
    <t>Func 3</t>
  </si>
  <si>
    <t>Func Code</t>
  </si>
  <si>
    <t>Function Name</t>
  </si>
  <si>
    <t>STEP 2 - Paste the solver's two columns (ID Alias, Function) into the first two columns below. The real identifier and function name fill in automatically.</t>
  </si>
  <si>
    <t>Function</t>
  </si>
  <si>
    <t>STEP 1 - Replace the example rows with your real employees and rename the function columns to your real functions. Mark each cell TRUE or FALSE, then Data &gt; Refresh All).</t>
  </si>
  <si>
    <t>Func 4</t>
  </si>
  <si>
    <t>Func 5</t>
  </si>
  <si>
    <t>Func 6</t>
  </si>
  <si>
    <t>Func 7</t>
  </si>
  <si>
    <t>function</t>
  </si>
  <si>
    <t>function2</t>
  </si>
  <si>
    <t>function3</t>
  </si>
  <si>
    <t>function4</t>
  </si>
  <si>
    <t>function5</t>
  </si>
  <si>
    <t>function6</t>
  </si>
  <si>
    <t>function7</t>
  </si>
  <si>
    <t>Save the below table, titles and all, to an Excel or csv file. Upload resulting file, not this one =],  to site for scheduling.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</si>
</sst>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B1AFBA6B-42CC-48D1-81FB-B296821203B8}" autoFormatId="16" applyNumberFormats="0" applyBorderFormats="0" applyFontFormats="0" applyPatternFormats="0" applyAlignmentFormats="0" applyWidthHeightFormats="0">
  <queryTableRefresh nextId="9">
    <queryTableFields count="8">
      <queryTableField id="1" name="ID Alias" tableColumnId="1"/>
      <queryTableField id="2" name="Func 1" tableColumnId="2"/>
      <queryTableField id="3" name="Func 2" tableColumnId="3"/>
      <queryTableField id="4" name="Func 3" tableColumnId="4"/>
      <queryTableField id="5" name="Func 4" tableColumnId="5"/>
      <queryTableField id="6" name="Func 5" tableColumnId="6"/>
      <queryTableField id="7" name="Func 6" tableColumnId="7"/>
      <queryTableField id="8" name="Func 7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90D062B3-261A-4E79-B322-A8DD8664D7E2}" autoFormatId="16" applyNumberFormats="0" applyBorderFormats="0" applyFontFormats="0" applyPatternFormats="0" applyAlignmentFormats="0" applyWidthHeightFormats="0">
  <queryTableRefresh nextId="3">
    <queryTableFields count="2">
      <queryTableField id="1" name="Func Code" tableColumnId="1"/>
      <queryTableField id="2" name="Function Nam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970A3CF-0FCD-4371-A49D-835447AC680E}" autoFormatId="16" applyNumberFormats="0" applyBorderFormats="0" applyFontFormats="0" applyPatternFormats="0" applyAlignmentFormats="0" applyWidthHeightFormats="0">
  <queryTableRefresh nextId="21">
    <queryTableFields count="9">
      <queryTableField id="12" name="ID Alias" tableColumnId="12"/>
      <queryTableField id="13" name="Unique Identifier" tableColumnId="13"/>
      <queryTableField id="14" name="Func 1" tableColumnId="14"/>
      <queryTableField id="15" name="Func 2" tableColumnId="15"/>
      <queryTableField id="16" name="Func 3" tableColumnId="16"/>
      <queryTableField id="17" name="Func 4" tableColumnId="17"/>
      <queryTableField id="18" name="Func 5" tableColumnId="18"/>
      <queryTableField id="19" name="Func 6" tableColumnId="19"/>
      <queryTableField id="20" name="Func 7" tableColumnId="2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ster" displayName="Roster" ref="A2:H3">
  <autoFilter ref="A2:H3" xr:uid="{00000000-0009-0000-0100-000001000000}"/>
  <tableColumns count="8">
    <tableColumn id="1" xr3:uid="{00000000-0010-0000-0000-000001000000}" name="Unique Identifier"/>
    <tableColumn id="2" xr3:uid="{00000000-0010-0000-0000-000002000000}" name="function"/>
    <tableColumn id="3" xr3:uid="{00000000-0010-0000-0000-000003000000}" name="function2"/>
    <tableColumn id="4" xr3:uid="{00000000-0010-0000-0000-000004000000}" name="function3"/>
    <tableColumn id="5" xr3:uid="{BD397441-1551-4C9B-B490-C0F4F99C3633}" name="function4"/>
    <tableColumn id="6" xr3:uid="{F451E737-789F-4507-AF24-86868ECB219D}" name="function5"/>
    <tableColumn id="7" xr3:uid="{22D320DB-270E-448C-AE15-6650FC8A24E5}" name="function6"/>
    <tableColumn id="8" xr3:uid="{E3475CB1-8ECD-4546-8F86-66D04DDC5567}" name="function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989A2DB-2F9C-45BE-B630-EA07B1621C48}" name="Encoded" displayName="Encoded" ref="A2:H3" tableType="queryTable" totalsRowShown="0">
  <autoFilter ref="A2:H3" xr:uid="{6989A2DB-2F9C-45BE-B630-EA07B1621C48}"/>
  <tableColumns count="8">
    <tableColumn id="1" xr3:uid="{C1F5492C-5DA3-4DA9-9E10-E60F9552192C}" uniqueName="1" name="ID Alias" queryTableFieldId="1"/>
    <tableColumn id="2" xr3:uid="{E1F6619E-9574-46EC-A99A-96CA160427BC}" uniqueName="2" name="Func 1" queryTableFieldId="2"/>
    <tableColumn id="3" xr3:uid="{7E2BCF75-33FC-4B42-A5D2-A18D11E59453}" uniqueName="3" name="Func 2" queryTableFieldId="3"/>
    <tableColumn id="4" xr3:uid="{F71EA16C-90D7-4901-AB3F-807B60659ED5}" uniqueName="4" name="Func 3" queryTableFieldId="4"/>
    <tableColumn id="5" xr3:uid="{2F82F9DD-F306-4CD2-A2DE-AC2A2565F703}" uniqueName="5" name="Func 4" queryTableFieldId="5"/>
    <tableColumn id="6" xr3:uid="{4C329662-1FC2-486F-9EE6-9183F767E693}" uniqueName="6" name="Func 5" queryTableFieldId="6"/>
    <tableColumn id="7" xr3:uid="{EE83E297-4439-4737-92DF-DFA643537438}" uniqueName="7" name="Func 6" queryTableFieldId="7"/>
    <tableColumn id="8" xr3:uid="{E8A58680-84DD-4EB3-A3C4-3598879BADD0}" uniqueName="8" name="Func 7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lverOutput" displayName="SolverOutput" ref="A2:D4">
  <autoFilter ref="A2:D4" xr:uid="{00000000-0009-0000-0100-000005000000}"/>
  <tableColumns count="4">
    <tableColumn id="1" xr3:uid="{00000000-0010-0000-0400-000001000000}" name="ID Alias"/>
    <tableColumn id="2" xr3:uid="{00000000-0010-0000-0400-000002000000}" name="Function"/>
    <tableColumn id="3" xr3:uid="{00000000-0010-0000-0400-000003000000}" name="Unique Identifier" dataDxfId="0">
      <calculatedColumnFormula>_xlfn.XLOOKUP(SolverOutput[[#This Row],[ID Alias]], Master[ID Alias], Master[Unique Identifier], "Not found")</calculatedColumnFormula>
    </tableColumn>
    <tableColumn id="4" xr3:uid="{00000000-0010-0000-0400-000004000000}" name="Function Name">
      <calculatedColumnFormula>_xlfn.XLOOKUP(B3,FuncMap[Func Code],FuncMap[Function Name],B3)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DAE92A0-B621-47C9-97EB-817F4E50CF51}" name="FuncMap" displayName="FuncMap" ref="A1:B8" tableType="queryTable" totalsRowShown="0">
  <autoFilter ref="A1:B8" xr:uid="{2DAE92A0-B621-47C9-97EB-817F4E50CF51}"/>
  <tableColumns count="2">
    <tableColumn id="1" xr3:uid="{361993D7-DDD3-4CC1-A53E-F5703C26AEB4}" uniqueName="1" name="Func Code" queryTableFieldId="1"/>
    <tableColumn id="2" xr3:uid="{9896D415-9485-4D41-8EA9-2C1C3AB6169F}" uniqueName="2" name="Function Name" queryTableFieldId="2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482A07-474E-438D-BECD-F9118012C3B3}" name="Master" displayName="Master" ref="A1:I2" tableType="queryTable" totalsRowShown="0">
  <autoFilter ref="A1:I2" xr:uid="{A6482A07-474E-438D-BECD-F9118012C3B3}"/>
  <tableColumns count="9">
    <tableColumn id="12" xr3:uid="{43B256C5-A5DA-4505-8D51-1155D1FB1055}" uniqueName="12" name="ID Alias" queryTableFieldId="12"/>
    <tableColumn id="13" xr3:uid="{DC348893-7C73-4486-B534-F2B3C7AFF141}" uniqueName="13" name="Unique Identifier" queryTableFieldId="13"/>
    <tableColumn id="14" xr3:uid="{2A044A7F-5813-4EEA-928E-9B2FAE5FD13C}" uniqueName="14" name="Func 1" queryTableFieldId="14"/>
    <tableColumn id="15" xr3:uid="{399400CB-9CAD-4195-8969-54E366480E34}" uniqueName="15" name="Func 2" queryTableFieldId="15"/>
    <tableColumn id="16" xr3:uid="{1858CD79-FB48-496F-A01A-9821C2FBE88E}" uniqueName="16" name="Func 3" queryTableFieldId="16"/>
    <tableColumn id="17" xr3:uid="{7E7C1648-5EB1-466F-A363-EE705E166343}" uniqueName="17" name="Func 4" queryTableFieldId="17"/>
    <tableColumn id="18" xr3:uid="{5EF28C64-542F-4B3D-AF83-48479C1715A1}" uniqueName="18" name="Func 5" queryTableFieldId="18"/>
    <tableColumn id="19" xr3:uid="{795E5EC0-4987-4327-BC71-34AB150F9E3A}" uniqueName="19" name="Func 6" queryTableFieldId="19"/>
    <tableColumn id="20" xr3:uid="{DA3636BC-7117-493C-A81E-E4F340A48F7B}" uniqueName="20" name="Func 7" queryTableField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456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2EDC18-4A3E-47CE-9729-F5F8D6000F7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9f6951f-7c81-4409-b201-d622895a722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activeCell="G14" sqref="G14"/>
    </sheetView>
  </sheetViews>
  <sheetFormatPr defaultRowHeight="14.25" x14ac:dyDescent="0.45"/>
  <cols>
    <col min="1" max="1" width="21.6640625" customWidth="1"/>
    <col min="2" max="2" width="14.46484375" customWidth="1"/>
    <col min="3" max="3" width="15.73046875" customWidth="1"/>
    <col min="4" max="4" width="16.1328125" customWidth="1"/>
    <col min="5" max="5" width="13.265625" customWidth="1"/>
    <col min="6" max="6" width="15.73046875" customWidth="1"/>
    <col min="7" max="7" width="13.19921875" customWidth="1"/>
    <col min="8" max="8" width="16.265625" customWidth="1"/>
  </cols>
  <sheetData>
    <row r="1" spans="1:8" x14ac:dyDescent="0.45">
      <c r="A1" t="s">
        <v>9</v>
      </c>
    </row>
    <row r="2" spans="1:8" x14ac:dyDescent="0.4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</row>
  </sheetData>
  <dataValidations count="1">
    <dataValidation type="list" sqref="B3:D2128" xr:uid="{00000000-0002-0000-0000-000000000000}">
      <formula1>"TRUE,FALSE"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B4BC-0510-452E-AD76-CEB98D2C108E}">
  <dimension ref="A1:H3"/>
  <sheetViews>
    <sheetView workbookViewId="0">
      <selection activeCell="A2" sqref="A2"/>
    </sheetView>
  </sheetViews>
  <sheetFormatPr defaultRowHeight="14.25" x14ac:dyDescent="0.45"/>
  <cols>
    <col min="1" max="1" width="9" bestFit="1" customWidth="1"/>
    <col min="2" max="4" width="8.19921875" bestFit="1" customWidth="1"/>
    <col min="5" max="8" width="8.19921875" customWidth="1"/>
  </cols>
  <sheetData>
    <row r="1" spans="1:8" x14ac:dyDescent="0.45">
      <c r="A1" t="s">
        <v>21</v>
      </c>
    </row>
    <row r="2" spans="1:8" x14ac:dyDescent="0.45">
      <c r="A2" t="s">
        <v>1</v>
      </c>
      <c r="B2" t="s">
        <v>2</v>
      </c>
      <c r="C2" t="s">
        <v>3</v>
      </c>
      <c r="D2" t="s">
        <v>4</v>
      </c>
      <c r="E2" t="s">
        <v>10</v>
      </c>
      <c r="F2" t="s">
        <v>11</v>
      </c>
      <c r="G2" t="s">
        <v>12</v>
      </c>
      <c r="H2" t="s">
        <v>13</v>
      </c>
    </row>
    <row r="3" spans="1:8" x14ac:dyDescent="0.45">
      <c r="A3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tabSelected="1" workbookViewId="0">
      <selection activeCell="A2" sqref="A2:D4"/>
    </sheetView>
  </sheetViews>
  <sheetFormatPr defaultRowHeight="14.25" x14ac:dyDescent="0.45"/>
  <sheetData>
    <row r="1" spans="1:4" x14ac:dyDescent="0.45">
      <c r="A1" t="s">
        <v>7</v>
      </c>
    </row>
    <row r="2" spans="1:4" x14ac:dyDescent="0.45">
      <c r="A2" t="s">
        <v>1</v>
      </c>
      <c r="B2" t="s">
        <v>8</v>
      </c>
      <c r="C2" t="s">
        <v>0</v>
      </c>
      <c r="D2" t="s">
        <v>6</v>
      </c>
    </row>
    <row r="3" spans="1:4" x14ac:dyDescent="0.45">
      <c r="C3" t="str">
        <f>_xlfn.XLOOKUP(SolverOutput[[#This Row],[ID Alias]], Master[ID Alias], Master[Unique Identifier], "Not found")</f>
        <v>Not found</v>
      </c>
      <c r="D3">
        <f>_xlfn.XLOOKUP(B3,FuncMap[Func Code],FuncMap[Function Name],B3)</f>
        <v>0</v>
      </c>
    </row>
    <row r="4" spans="1:4" x14ac:dyDescent="0.45">
      <c r="C4" t="str">
        <f>_xlfn.XLOOKUP(SolverOutput[[#This Row],[ID Alias]], Master[ID Alias], Master[Unique Identifier], "Not found")</f>
        <v>Not found</v>
      </c>
      <c r="D4">
        <f>_xlfn.XLOOKUP(B4,FuncMap[Func Code],FuncMap[Function Name],B4)</f>
        <v>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FAC3-32C0-4CE6-A856-9348C3FA6FB9}">
  <dimension ref="A1:B8"/>
  <sheetViews>
    <sheetView workbookViewId="0">
      <selection activeCell="B2" sqref="B2"/>
    </sheetView>
  </sheetViews>
  <sheetFormatPr defaultRowHeight="14.25" x14ac:dyDescent="0.45"/>
  <cols>
    <col min="1" max="1" width="11.33203125" bestFit="1" customWidth="1"/>
    <col min="2" max="2" width="15.33203125" bestFit="1" customWidth="1"/>
  </cols>
  <sheetData>
    <row r="1" spans="1:2" x14ac:dyDescent="0.45">
      <c r="A1" t="s">
        <v>5</v>
      </c>
      <c r="B1" t="s">
        <v>6</v>
      </c>
    </row>
    <row r="2" spans="1:2" x14ac:dyDescent="0.45">
      <c r="A2" t="s">
        <v>2</v>
      </c>
      <c r="B2" t="s">
        <v>14</v>
      </c>
    </row>
    <row r="3" spans="1:2" x14ac:dyDescent="0.45">
      <c r="A3" t="s">
        <v>3</v>
      </c>
      <c r="B3" t="s">
        <v>15</v>
      </c>
    </row>
    <row r="4" spans="1:2" x14ac:dyDescent="0.45">
      <c r="A4" t="s">
        <v>4</v>
      </c>
      <c r="B4" t="s">
        <v>16</v>
      </c>
    </row>
    <row r="5" spans="1:2" x14ac:dyDescent="0.45">
      <c r="A5" t="s">
        <v>10</v>
      </c>
      <c r="B5" t="s">
        <v>17</v>
      </c>
    </row>
    <row r="6" spans="1:2" x14ac:dyDescent="0.45">
      <c r="A6" t="s">
        <v>11</v>
      </c>
      <c r="B6" t="s">
        <v>18</v>
      </c>
    </row>
    <row r="7" spans="1:2" x14ac:dyDescent="0.45">
      <c r="A7" t="s">
        <v>12</v>
      </c>
      <c r="B7" t="s">
        <v>19</v>
      </c>
    </row>
    <row r="8" spans="1:2" x14ac:dyDescent="0.45">
      <c r="A8" t="s">
        <v>13</v>
      </c>
      <c r="B8" t="s">
        <v>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754CB-C3DC-40E3-975C-54984DE3EE30}">
  <dimension ref="A1:I2"/>
  <sheetViews>
    <sheetView workbookViewId="0">
      <selection activeCell="B3" sqref="B3"/>
    </sheetView>
  </sheetViews>
  <sheetFormatPr defaultRowHeight="14.25" x14ac:dyDescent="0.45"/>
  <cols>
    <col min="1" max="1" width="9" bestFit="1" customWidth="1"/>
    <col min="2" max="2" width="16.9296875" bestFit="1" customWidth="1"/>
    <col min="3" max="9" width="8.19921875" bestFit="1" customWidth="1"/>
    <col min="10" max="10" width="11.33203125" bestFit="1" customWidth="1"/>
    <col min="11" max="11" width="15.33203125" bestFit="1" customWidth="1"/>
    <col min="12" max="12" width="9" bestFit="1" customWidth="1"/>
    <col min="13" max="13" width="16.9296875" bestFit="1" customWidth="1"/>
    <col min="14" max="16" width="8.19921875" bestFit="1" customWidth="1"/>
    <col min="17" max="20" width="8.19921875" customWidth="1"/>
  </cols>
  <sheetData>
    <row r="1" spans="1:9" x14ac:dyDescent="0.4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10</v>
      </c>
      <c r="G1" t="s">
        <v>11</v>
      </c>
      <c r="H1" t="s">
        <v>12</v>
      </c>
      <c r="I1" t="s">
        <v>13</v>
      </c>
    </row>
    <row r="2" spans="1:9" x14ac:dyDescent="0.45">
      <c r="A2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6F64DB-3381-4402-A102-47354527B5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Encoder</vt:lpstr>
      <vt:lpstr>Encoded</vt:lpstr>
      <vt:lpstr>Decoder</vt:lpstr>
      <vt:lpstr>FuncMap</vt:lpstr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Razi Khawaja</cp:lastModifiedBy>
  <dcterms:created xsi:type="dcterms:W3CDTF">2026-07-09T13:20:53Z</dcterms:created>
  <dcterms:modified xsi:type="dcterms:W3CDTF">2026-07-09T14:22:13Z</dcterms:modified>
</cp:coreProperties>
</file>